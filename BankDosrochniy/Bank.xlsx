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nformatics\"/>
    </mc:Choice>
  </mc:AlternateContent>
  <xr:revisionPtr revIDLastSave="0" documentId="13_ncr:1_{05AC9420-D075-4620-81E3-B5494EE9B95D}" xr6:coauthVersionLast="43" xr6:coauthVersionMax="43" xr10:uidLastSave="{00000000-0000-0000-0000-000000000000}"/>
  <bookViews>
    <workbookView xWindow="-120" yWindow="-120" windowWidth="29040" windowHeight="15840" xr2:uid="{F16129BB-C061-4B9A-ACB3-D7776676F926}"/>
  </bookViews>
  <sheets>
    <sheet name="Уменьшие срока" sheetId="3" r:id="rId1"/>
    <sheet name="Уменьшие выплаты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1" i="3" l="1"/>
  <c r="B10" i="3" l="1"/>
  <c r="F10" i="3" s="1"/>
  <c r="B5" i="3"/>
  <c r="B9" i="1"/>
  <c r="B10" i="1" s="1"/>
  <c r="B8" i="1"/>
  <c r="F8" i="1" s="1"/>
  <c r="C11" i="3" l="1"/>
  <c r="D11" i="3"/>
  <c r="F11" i="3" s="1"/>
  <c r="C9" i="1"/>
  <c r="D9" i="1" s="1"/>
  <c r="F9" i="1" s="1"/>
  <c r="B11" i="1"/>
  <c r="C12" i="3" l="1"/>
  <c r="B12" i="3"/>
  <c r="D12" i="3" s="1"/>
  <c r="F12" i="3" s="1"/>
  <c r="C10" i="1"/>
  <c r="D10" i="1" s="1"/>
  <c r="F10" i="1" s="1"/>
  <c r="C11" i="1" s="1"/>
  <c r="D11" i="1" s="1"/>
  <c r="F11" i="1" s="1"/>
  <c r="C13" i="3" l="1"/>
  <c r="B13" i="3"/>
  <c r="D13" i="3" s="1"/>
  <c r="F13" i="3" s="1"/>
  <c r="B12" i="1"/>
  <c r="C12" i="1"/>
  <c r="C14" i="3" l="1"/>
  <c r="B14" i="3"/>
  <c r="D12" i="1"/>
  <c r="F12" i="1" s="1"/>
  <c r="C13" i="1" s="1"/>
  <c r="B13" i="1"/>
  <c r="B14" i="1" s="1"/>
  <c r="B15" i="1" s="1"/>
  <c r="D14" i="3" l="1"/>
  <c r="F14" i="3" s="1"/>
  <c r="D13" i="1"/>
  <c r="F13" i="1" s="1"/>
  <c r="C14" i="1" s="1"/>
  <c r="D14" i="1" s="1"/>
  <c r="F14" i="1" s="1"/>
  <c r="C15" i="1" s="1"/>
  <c r="D15" i="1" s="1"/>
  <c r="F15" i="1" s="1"/>
  <c r="B16" i="1" s="1"/>
  <c r="C15" i="3" l="1"/>
  <c r="B15" i="3"/>
  <c r="D15" i="3" s="1"/>
  <c r="F15" i="3" s="1"/>
  <c r="C16" i="1"/>
  <c r="D16" i="1" s="1"/>
  <c r="F16" i="1" s="1"/>
  <c r="B17" i="1"/>
  <c r="B16" i="3" l="1"/>
  <c r="C16" i="3"/>
  <c r="C17" i="1"/>
  <c r="D17" i="1" s="1"/>
  <c r="F17" i="1" s="1"/>
  <c r="B18" i="1"/>
  <c r="D16" i="3" l="1"/>
  <c r="F16" i="3" s="1"/>
  <c r="C18" i="1"/>
  <c r="D18" i="1" s="1"/>
  <c r="F18" i="1" s="1"/>
  <c r="B19" i="1"/>
  <c r="C17" i="3" l="1"/>
  <c r="B17" i="3"/>
  <c r="D17" i="3" s="1"/>
  <c r="F17" i="3"/>
  <c r="C19" i="1"/>
  <c r="D19" i="1" s="1"/>
  <c r="F19" i="1" s="1"/>
  <c r="B20" i="1"/>
  <c r="F18" i="3" l="1"/>
  <c r="C18" i="3"/>
  <c r="B18" i="3"/>
  <c r="D18" i="3" s="1"/>
  <c r="C20" i="1"/>
  <c r="D20" i="1" s="1"/>
  <c r="F20" i="1" s="1"/>
  <c r="C19" i="3" l="1"/>
  <c r="B19" i="3"/>
  <c r="D19" i="3" s="1"/>
  <c r="F19" i="3" s="1"/>
  <c r="C20" i="3" l="1"/>
  <c r="B20" i="3"/>
  <c r="D20" i="3" s="1"/>
  <c r="F20" i="3" s="1"/>
  <c r="C21" i="3" l="1"/>
  <c r="B21" i="3"/>
  <c r="D21" i="3" s="1"/>
  <c r="F21" i="3" s="1"/>
  <c r="F22" i="3" l="1"/>
  <c r="C22" i="3"/>
  <c r="B22" i="3"/>
  <c r="D22" i="3" s="1"/>
</calcChain>
</file>

<file path=xl/sharedStrings.xml><?xml version="1.0" encoding="utf-8"?>
<sst xmlns="http://schemas.openxmlformats.org/spreadsheetml/2006/main" count="21" uniqueCount="12">
  <si>
    <t>Сумма кредита</t>
  </si>
  <si>
    <t>Годовая ставка</t>
  </si>
  <si>
    <t>Срок кредита</t>
  </si>
  <si>
    <t>Планируемя выплата</t>
  </si>
  <si>
    <t>Период</t>
  </si>
  <si>
    <t>Платёж</t>
  </si>
  <si>
    <t>На оплату процентов</t>
  </si>
  <si>
    <t>На выплату тела процентов</t>
  </si>
  <si>
    <t>Дополнительно</t>
  </si>
  <si>
    <t>Осталось выплатить</t>
  </si>
  <si>
    <t>Уменьшие выплаты</t>
  </si>
  <si>
    <t>Уменьшие срока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</si>
</sst>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164" fontId="0" fillId="0" borderId="0" xfId="0" applyNumberFormat="1"/>
    <xf numFmtId="8" fontId="0" fillId="0" borderId="0" xfId="0" applyNumberFormat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F17F6-93F9-4457-ACDC-6367ACCC8861}">
  <dimension ref="A1:F38"/>
  <sheetViews>
    <sheetView tabSelected="1" workbookViewId="0">
      <selection activeCell="D30" sqref="D30"/>
    </sheetView>
  </sheetViews>
  <sheetFormatPr defaultRowHeight="15" x14ac:dyDescent="0.25"/>
  <cols>
    <col min="1" max="1" width="20.42578125" customWidth="1"/>
    <col min="2" max="2" width="13.140625" bestFit="1" customWidth="1"/>
    <col min="3" max="3" width="20.5703125" customWidth="1"/>
    <col min="4" max="4" width="31.42578125" customWidth="1"/>
    <col min="5" max="5" width="17.140625" customWidth="1"/>
    <col min="6" max="6" width="19.42578125" customWidth="1"/>
    <col min="9" max="9" width="9.140625" customWidth="1"/>
  </cols>
  <sheetData>
    <row r="1" spans="1:6" x14ac:dyDescent="0.25">
      <c r="A1" t="s">
        <v>0</v>
      </c>
      <c r="B1" s="2">
        <v>1000000</v>
      </c>
    </row>
    <row r="2" spans="1:6" x14ac:dyDescent="0.25">
      <c r="A2" t="s">
        <v>1</v>
      </c>
      <c r="B2" s="1">
        <v>0.12</v>
      </c>
    </row>
    <row r="3" spans="1:6" x14ac:dyDescent="0.25">
      <c r="A3" t="s">
        <v>2</v>
      </c>
      <c r="B3">
        <v>12</v>
      </c>
    </row>
    <row r="5" spans="1:6" x14ac:dyDescent="0.25">
      <c r="A5" t="s">
        <v>3</v>
      </c>
      <c r="B5" s="3">
        <f>PMT(B2/12,B3,B1)</f>
        <v>-88848.788678341691</v>
      </c>
    </row>
    <row r="8" spans="1:6" x14ac:dyDescent="0.25">
      <c r="A8" t="s">
        <v>11</v>
      </c>
    </row>
    <row r="9" spans="1:6" x14ac:dyDescent="0.25">
      <c r="A9" s="4" t="s">
        <v>4</v>
      </c>
      <c r="B9" s="4" t="s">
        <v>5</v>
      </c>
      <c r="C9" s="4" t="s">
        <v>6</v>
      </c>
      <c r="D9" s="4" t="s">
        <v>7</v>
      </c>
      <c r="E9" s="4" t="s">
        <v>8</v>
      </c>
      <c r="F9" s="4" t="s">
        <v>9</v>
      </c>
    </row>
    <row r="10" spans="1:6" x14ac:dyDescent="0.25">
      <c r="B10" s="2">
        <f>B1</f>
        <v>1000000</v>
      </c>
      <c r="E10" s="2"/>
      <c r="F10" s="2">
        <f>B10</f>
        <v>1000000</v>
      </c>
    </row>
    <row r="11" spans="1:6" x14ac:dyDescent="0.25">
      <c r="A11">
        <v>1</v>
      </c>
      <c r="B11" s="3">
        <f>$B$5</f>
        <v>-88848.788678341691</v>
      </c>
      <c r="C11" s="2">
        <f>-$B$2/12*F10</f>
        <v>-10000</v>
      </c>
      <c r="D11" s="3">
        <f>B11-C11</f>
        <v>-78848.788678341691</v>
      </c>
      <c r="E11" s="2"/>
      <c r="F11" s="2">
        <f t="shared" ref="F11:F22" si="0">F10+D11+E11</f>
        <v>921151.21132165834</v>
      </c>
    </row>
    <row r="12" spans="1:6" x14ac:dyDescent="0.25">
      <c r="A12">
        <v>2</v>
      </c>
      <c r="B12">
        <f>IF(F11=0,0,IF(F11&lt;-$B$5,-F11+C12,B11))</f>
        <v>-88848.788678341691</v>
      </c>
      <c r="C12" s="2">
        <f t="shared" ref="C12:C22" si="1">-$B$2/12*F11</f>
        <v>-9211.5121132165841</v>
      </c>
      <c r="D12" s="3">
        <f t="shared" ref="D12:D22" si="2">B12-C12</f>
        <v>-79637.27656512511</v>
      </c>
      <c r="E12" s="2"/>
      <c r="F12" s="2">
        <f t="shared" si="0"/>
        <v>841513.93475653324</v>
      </c>
    </row>
    <row r="13" spans="1:6" x14ac:dyDescent="0.25">
      <c r="A13">
        <v>3</v>
      </c>
      <c r="B13">
        <f t="shared" ref="B13:B22" si="3">IF(F12=0,0,IF(F12&lt;-$B$5,-F12+C13,B12))</f>
        <v>-88848.788678341691</v>
      </c>
      <c r="C13" s="2">
        <f t="shared" si="1"/>
        <v>-8415.1393475653331</v>
      </c>
      <c r="D13" s="3">
        <f t="shared" si="2"/>
        <v>-80433.649330776359</v>
      </c>
      <c r="E13" s="2"/>
      <c r="F13" s="2">
        <f t="shared" si="0"/>
        <v>761080.28542575683</v>
      </c>
    </row>
    <row r="14" spans="1:6" x14ac:dyDescent="0.25">
      <c r="A14">
        <v>4</v>
      </c>
      <c r="B14">
        <f t="shared" si="3"/>
        <v>-88848.788678341691</v>
      </c>
      <c r="C14" s="2">
        <f t="shared" si="1"/>
        <v>-7610.8028542575685</v>
      </c>
      <c r="D14" s="3">
        <f t="shared" si="2"/>
        <v>-81237.985824084128</v>
      </c>
      <c r="E14" s="2">
        <v>-300000</v>
      </c>
      <c r="F14" s="2">
        <f t="shared" si="0"/>
        <v>379842.29960167268</v>
      </c>
    </row>
    <row r="15" spans="1:6" x14ac:dyDescent="0.25">
      <c r="A15">
        <v>5</v>
      </c>
      <c r="B15">
        <f t="shared" si="3"/>
        <v>-88848.788678341691</v>
      </c>
      <c r="C15" s="2">
        <f t="shared" si="1"/>
        <v>-3798.4229960167268</v>
      </c>
      <c r="D15" s="3">
        <f t="shared" si="2"/>
        <v>-85050.365682324962</v>
      </c>
      <c r="E15" s="2"/>
      <c r="F15" s="2">
        <f t="shared" si="0"/>
        <v>294791.93391934771</v>
      </c>
    </row>
    <row r="16" spans="1:6" x14ac:dyDescent="0.25">
      <c r="A16">
        <v>6</v>
      </c>
      <c r="B16">
        <f t="shared" si="3"/>
        <v>-88848.788678341691</v>
      </c>
      <c r="C16" s="2">
        <f t="shared" si="1"/>
        <v>-2947.9193391934773</v>
      </c>
      <c r="D16" s="3">
        <f t="shared" si="2"/>
        <v>-85900.869339148208</v>
      </c>
      <c r="E16" s="2"/>
      <c r="F16" s="2">
        <f t="shared" si="0"/>
        <v>208891.06458019948</v>
      </c>
    </row>
    <row r="17" spans="1:6" x14ac:dyDescent="0.25">
      <c r="A17">
        <v>7</v>
      </c>
      <c r="B17">
        <f t="shared" si="3"/>
        <v>-88848.788678341691</v>
      </c>
      <c r="C17" s="2">
        <f t="shared" si="1"/>
        <v>-2088.9106458019951</v>
      </c>
      <c r="D17" s="3">
        <f t="shared" si="2"/>
        <v>-86759.878032539695</v>
      </c>
      <c r="E17" s="2"/>
      <c r="F17" s="2">
        <f t="shared" si="0"/>
        <v>122131.18654765979</v>
      </c>
    </row>
    <row r="18" spans="1:6" x14ac:dyDescent="0.25">
      <c r="A18">
        <v>8</v>
      </c>
      <c r="B18">
        <f t="shared" si="3"/>
        <v>-88848.788678341691</v>
      </c>
      <c r="C18" s="2">
        <f t="shared" si="1"/>
        <v>-1221.3118654765979</v>
      </c>
      <c r="D18" s="3">
        <f t="shared" si="2"/>
        <v>-87627.47681286509</v>
      </c>
      <c r="E18" s="2"/>
      <c r="F18" s="2">
        <f t="shared" si="0"/>
        <v>34503.709734794698</v>
      </c>
    </row>
    <row r="19" spans="1:6" x14ac:dyDescent="0.25">
      <c r="A19">
        <v>9</v>
      </c>
      <c r="B19">
        <f t="shared" si="3"/>
        <v>-34848.746832142642</v>
      </c>
      <c r="C19" s="2">
        <f t="shared" si="1"/>
        <v>-345.037097347947</v>
      </c>
      <c r="D19" s="3">
        <f t="shared" si="2"/>
        <v>-34503.709734794698</v>
      </c>
      <c r="E19" s="2"/>
      <c r="F19" s="2">
        <f t="shared" si="0"/>
        <v>0</v>
      </c>
    </row>
    <row r="20" spans="1:6" x14ac:dyDescent="0.25">
      <c r="A20">
        <v>10</v>
      </c>
      <c r="B20">
        <f t="shared" si="3"/>
        <v>0</v>
      </c>
      <c r="C20" s="2">
        <f t="shared" si="1"/>
        <v>0</v>
      </c>
      <c r="D20" s="3">
        <f t="shared" si="2"/>
        <v>0</v>
      </c>
      <c r="E20" s="2"/>
      <c r="F20" s="2">
        <f t="shared" si="0"/>
        <v>0</v>
      </c>
    </row>
    <row r="21" spans="1:6" x14ac:dyDescent="0.25">
      <c r="A21">
        <v>11</v>
      </c>
      <c r="B21">
        <f t="shared" si="3"/>
        <v>0</v>
      </c>
      <c r="C21" s="2">
        <f t="shared" si="1"/>
        <v>0</v>
      </c>
      <c r="D21" s="3">
        <f t="shared" si="2"/>
        <v>0</v>
      </c>
      <c r="E21" s="2"/>
      <c r="F21" s="2">
        <f t="shared" si="0"/>
        <v>0</v>
      </c>
    </row>
    <row r="22" spans="1:6" x14ac:dyDescent="0.25">
      <c r="A22">
        <v>12</v>
      </c>
      <c r="B22">
        <f t="shared" si="3"/>
        <v>0</v>
      </c>
      <c r="C22" s="2">
        <f t="shared" si="1"/>
        <v>0</v>
      </c>
      <c r="D22" s="3">
        <f t="shared" si="2"/>
        <v>0</v>
      </c>
      <c r="E22" s="2"/>
      <c r="F22" s="2">
        <f t="shared" si="0"/>
        <v>0</v>
      </c>
    </row>
    <row r="25" spans="1:6" x14ac:dyDescent="0.25">
      <c r="A25" s="4"/>
      <c r="B25" s="4"/>
      <c r="C25" s="4"/>
      <c r="D25" s="4"/>
      <c r="E25" s="4"/>
      <c r="F25" s="4"/>
    </row>
    <row r="26" spans="1:6" x14ac:dyDescent="0.25">
      <c r="B26" s="2"/>
      <c r="E26" s="2"/>
      <c r="F26" s="2"/>
    </row>
    <row r="27" spans="1:6" x14ac:dyDescent="0.25">
      <c r="B27" s="3"/>
      <c r="C27" s="2"/>
      <c r="D27" s="3"/>
      <c r="E27" s="2"/>
      <c r="F27" s="2"/>
    </row>
    <row r="28" spans="1:6" x14ac:dyDescent="0.25">
      <c r="C28" s="2"/>
      <c r="D28" s="3"/>
      <c r="E28" s="2"/>
      <c r="F28" s="2"/>
    </row>
    <row r="29" spans="1:6" x14ac:dyDescent="0.25">
      <c r="C29" s="2"/>
      <c r="D29" s="3"/>
      <c r="E29" s="2"/>
      <c r="F29" s="2"/>
    </row>
    <row r="30" spans="1:6" x14ac:dyDescent="0.25">
      <c r="C30" s="2"/>
      <c r="D30" s="3"/>
      <c r="E30" s="2"/>
      <c r="F30" s="2"/>
    </row>
    <row r="31" spans="1:6" x14ac:dyDescent="0.25">
      <c r="C31" s="2"/>
      <c r="D31" s="3"/>
      <c r="E31" s="2"/>
      <c r="F31" s="2"/>
    </row>
    <row r="32" spans="1:6" x14ac:dyDescent="0.25">
      <c r="C32" s="2"/>
      <c r="D32" s="3"/>
      <c r="E32" s="2"/>
      <c r="F32" s="2"/>
    </row>
    <row r="33" spans="3:6" x14ac:dyDescent="0.25">
      <c r="C33" s="2"/>
      <c r="D33" s="3"/>
      <c r="E33" s="2"/>
      <c r="F33" s="2"/>
    </row>
    <row r="34" spans="3:6" x14ac:dyDescent="0.25">
      <c r="C34" s="2"/>
      <c r="D34" s="3"/>
      <c r="E34" s="2"/>
      <c r="F34" s="2"/>
    </row>
    <row r="35" spans="3:6" x14ac:dyDescent="0.25">
      <c r="C35" s="2"/>
      <c r="D35" s="3"/>
      <c r="E35" s="2"/>
      <c r="F35" s="2"/>
    </row>
    <row r="36" spans="3:6" x14ac:dyDescent="0.25">
      <c r="C36" s="2"/>
      <c r="D36" s="3"/>
      <c r="E36" s="2"/>
      <c r="F36" s="2"/>
    </row>
    <row r="37" spans="3:6" x14ac:dyDescent="0.25">
      <c r="C37" s="2"/>
      <c r="D37" s="3"/>
      <c r="E37" s="2"/>
      <c r="F37" s="2"/>
    </row>
    <row r="38" spans="3:6" x14ac:dyDescent="0.25">
      <c r="C38" s="2"/>
      <c r="D38" s="3"/>
      <c r="E38" s="2"/>
      <c r="F38" s="2"/>
    </row>
  </sheetData>
  <conditionalFormatting sqref="F10:F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{DB52FF58-EF09-4D17-9532-E4B0C78FCCB8}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52FF58-EF09-4D17-9532-E4B0C78FCC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F10:F22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D4672-3C7C-4FA4-A6A5-185054944EF1}">
  <dimension ref="A1:F20"/>
  <sheetViews>
    <sheetView workbookViewId="0">
      <selection activeCell="J15" sqref="J15"/>
    </sheetView>
  </sheetViews>
  <sheetFormatPr defaultRowHeight="15" x14ac:dyDescent="0.25"/>
  <cols>
    <col min="1" max="1" width="20.42578125" customWidth="1"/>
    <col min="2" max="2" width="13.140625" bestFit="1" customWidth="1"/>
    <col min="3" max="3" width="20.5703125" customWidth="1"/>
    <col min="4" max="4" width="31.42578125" customWidth="1"/>
    <col min="5" max="5" width="17.140625" customWidth="1"/>
    <col min="6" max="6" width="19.42578125" customWidth="1"/>
    <col min="9" max="9" width="9.140625" customWidth="1"/>
  </cols>
  <sheetData>
    <row r="1" spans="1:6" x14ac:dyDescent="0.25">
      <c r="A1" t="s">
        <v>0</v>
      </c>
      <c r="B1" s="2">
        <v>1000000</v>
      </c>
    </row>
    <row r="2" spans="1:6" x14ac:dyDescent="0.25">
      <c r="A2" t="s">
        <v>1</v>
      </c>
      <c r="B2" s="1">
        <v>0.12</v>
      </c>
    </row>
    <row r="3" spans="1:6" x14ac:dyDescent="0.25">
      <c r="A3" t="s">
        <v>2</v>
      </c>
      <c r="B3">
        <v>12</v>
      </c>
    </row>
    <row r="4" spans="1:6" x14ac:dyDescent="0.25">
      <c r="C4" s="2"/>
      <c r="D4" s="3"/>
      <c r="E4" s="2"/>
      <c r="F4" s="2"/>
    </row>
    <row r="6" spans="1:6" x14ac:dyDescent="0.25">
      <c r="A6" t="s">
        <v>10</v>
      </c>
    </row>
    <row r="7" spans="1:6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</row>
    <row r="8" spans="1:6" x14ac:dyDescent="0.25">
      <c r="B8" s="2">
        <f>B1</f>
        <v>1000000</v>
      </c>
      <c r="E8" s="2"/>
      <c r="F8" s="2">
        <f>B8</f>
        <v>1000000</v>
      </c>
    </row>
    <row r="9" spans="1:6" x14ac:dyDescent="0.25">
      <c r="A9">
        <v>1</v>
      </c>
      <c r="B9" s="3">
        <f>PMT(B2/12,B3,B1)</f>
        <v>-88848.788678341691</v>
      </c>
      <c r="C9" s="2">
        <f>-$B$2/12*F8</f>
        <v>-10000</v>
      </c>
      <c r="D9" s="3">
        <f>B9-C9</f>
        <v>-78848.788678341691</v>
      </c>
      <c r="E9" s="2"/>
      <c r="F9" s="2">
        <f>F8+D9+E9</f>
        <v>921151.21132165834</v>
      </c>
    </row>
    <row r="10" spans="1:6" x14ac:dyDescent="0.25">
      <c r="A10">
        <v>2</v>
      </c>
      <c r="B10">
        <f>IF(E9&lt;0,PMT($B$2/12,$B$3-A10+1,F9),B9)</f>
        <v>-88848.788678341691</v>
      </c>
      <c r="C10" s="2">
        <f t="shared" ref="C10:C20" si="0">-$B$2/12*F9</f>
        <v>-9211.5121132165841</v>
      </c>
      <c r="D10" s="3">
        <f t="shared" ref="D10:D20" si="1">B10-C10</f>
        <v>-79637.27656512511</v>
      </c>
      <c r="E10" s="2"/>
      <c r="F10" s="2">
        <f t="shared" ref="F10:F20" si="2">F9+D10+E10</f>
        <v>841513.93475653324</v>
      </c>
    </row>
    <row r="11" spans="1:6" x14ac:dyDescent="0.25">
      <c r="A11">
        <v>3</v>
      </c>
      <c r="B11">
        <f t="shared" ref="B11:B20" si="3">IF(E10&lt;0,PMT($B$2/12,$B$3-A11+1,F10),B10)</f>
        <v>-88848.788678341691</v>
      </c>
      <c r="C11" s="2">
        <f t="shared" si="0"/>
        <v>-8415.1393475653331</v>
      </c>
      <c r="D11" s="3">
        <f t="shared" si="1"/>
        <v>-80433.649330776359</v>
      </c>
      <c r="E11" s="2">
        <v>-100000</v>
      </c>
      <c r="F11" s="2">
        <f t="shared" si="2"/>
        <v>661080.28542575683</v>
      </c>
    </row>
    <row r="12" spans="1:6" x14ac:dyDescent="0.25">
      <c r="A12">
        <v>4</v>
      </c>
      <c r="B12">
        <f t="shared" si="3"/>
        <v>-77174.752393373594</v>
      </c>
      <c r="C12" s="2">
        <f t="shared" si="0"/>
        <v>-6610.8028542575685</v>
      </c>
      <c r="D12" s="3">
        <f t="shared" si="1"/>
        <v>-70563.949539116031</v>
      </c>
      <c r="E12" s="2"/>
      <c r="F12" s="2">
        <f t="shared" si="2"/>
        <v>590516.33588664082</v>
      </c>
    </row>
    <row r="13" spans="1:6" x14ac:dyDescent="0.25">
      <c r="A13">
        <v>5</v>
      </c>
      <c r="B13">
        <f t="shared" si="3"/>
        <v>-77174.752393373594</v>
      </c>
      <c r="C13" s="2">
        <f t="shared" si="0"/>
        <v>-5905.1633588664081</v>
      </c>
      <c r="D13" s="3">
        <f t="shared" si="1"/>
        <v>-71269.589034507182</v>
      </c>
      <c r="E13" s="2"/>
      <c r="F13" s="2">
        <f t="shared" si="2"/>
        <v>519246.74685213366</v>
      </c>
    </row>
    <row r="14" spans="1:6" x14ac:dyDescent="0.25">
      <c r="A14">
        <v>6</v>
      </c>
      <c r="B14">
        <f t="shared" si="3"/>
        <v>-77174.752393373594</v>
      </c>
      <c r="C14" s="2">
        <f t="shared" si="0"/>
        <v>-5192.4674685213367</v>
      </c>
      <c r="D14" s="3">
        <f t="shared" si="1"/>
        <v>-71982.284924852254</v>
      </c>
      <c r="E14" s="2"/>
      <c r="F14" s="2">
        <f t="shared" si="2"/>
        <v>447264.4619272814</v>
      </c>
    </row>
    <row r="15" spans="1:6" x14ac:dyDescent="0.25">
      <c r="A15">
        <v>7</v>
      </c>
      <c r="B15">
        <f t="shared" si="3"/>
        <v>-77174.752393373594</v>
      </c>
      <c r="C15" s="2">
        <f t="shared" si="0"/>
        <v>-4472.6446192728145</v>
      </c>
      <c r="D15" s="3">
        <f t="shared" si="1"/>
        <v>-72702.107774100776</v>
      </c>
      <c r="E15" s="2">
        <v>-200000</v>
      </c>
      <c r="F15" s="2">
        <f t="shared" si="2"/>
        <v>174562.35415318061</v>
      </c>
    </row>
    <row r="16" spans="1:6" x14ac:dyDescent="0.25">
      <c r="A16">
        <v>8</v>
      </c>
      <c r="B16">
        <f t="shared" si="3"/>
        <v>-35966.792470197608</v>
      </c>
      <c r="C16" s="2">
        <f t="shared" si="0"/>
        <v>-1745.623541531806</v>
      </c>
      <c r="D16" s="3">
        <f t="shared" si="1"/>
        <v>-34221.1689286658</v>
      </c>
      <c r="E16" s="2"/>
      <c r="F16" s="2">
        <f t="shared" si="2"/>
        <v>140341.1852245148</v>
      </c>
    </row>
    <row r="17" spans="1:6" x14ac:dyDescent="0.25">
      <c r="A17">
        <v>9</v>
      </c>
      <c r="B17">
        <f t="shared" si="3"/>
        <v>-35966.792470197608</v>
      </c>
      <c r="C17" s="2">
        <f t="shared" si="0"/>
        <v>-1403.4118522451481</v>
      </c>
      <c r="D17" s="3">
        <f t="shared" si="1"/>
        <v>-34563.380617952462</v>
      </c>
      <c r="E17" s="2"/>
      <c r="F17" s="2">
        <f t="shared" si="2"/>
        <v>105777.80460656233</v>
      </c>
    </row>
    <row r="18" spans="1:6" x14ac:dyDescent="0.25">
      <c r="A18">
        <v>10</v>
      </c>
      <c r="B18">
        <f t="shared" si="3"/>
        <v>-35966.792470197608</v>
      </c>
      <c r="C18" s="2">
        <f t="shared" si="0"/>
        <v>-1057.7780460656234</v>
      </c>
      <c r="D18" s="3">
        <f t="shared" si="1"/>
        <v>-34909.014424131987</v>
      </c>
      <c r="E18" s="2"/>
      <c r="F18" s="2">
        <f t="shared" si="2"/>
        <v>70868.790182430355</v>
      </c>
    </row>
    <row r="19" spans="1:6" x14ac:dyDescent="0.25">
      <c r="A19">
        <v>11</v>
      </c>
      <c r="B19">
        <f t="shared" si="3"/>
        <v>-35966.792470197608</v>
      </c>
      <c r="C19" s="2">
        <f t="shared" si="0"/>
        <v>-708.68790182430359</v>
      </c>
      <c r="D19" s="3">
        <f t="shared" si="1"/>
        <v>-35258.104568373303</v>
      </c>
      <c r="E19" s="2"/>
      <c r="F19" s="2">
        <f t="shared" si="2"/>
        <v>35610.685614057053</v>
      </c>
    </row>
    <row r="20" spans="1:6" x14ac:dyDescent="0.25">
      <c r="A20">
        <v>12</v>
      </c>
      <c r="B20">
        <f t="shared" si="3"/>
        <v>-35966.792470197608</v>
      </c>
      <c r="C20" s="2">
        <f t="shared" si="0"/>
        <v>-356.10685614057053</v>
      </c>
      <c r="D20" s="3">
        <f t="shared" si="1"/>
        <v>-35610.685614057038</v>
      </c>
      <c r="E20" s="2"/>
      <c r="F20" s="2">
        <f t="shared" si="2"/>
        <v>1.4551915228366852E-11</v>
      </c>
    </row>
  </sheetData>
  <conditionalFormatting sqref="F8:F20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{517ADFF4-EC42-43EF-862B-D9D2EA76E531}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7ADFF4-EC42-43EF-862B-D9D2EA76E53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F8:F20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Уменьшие срока</vt:lpstr>
      <vt:lpstr>Уменьшие выплаты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2026-02-05T08:41:45Z</dcterms:created>
  <dcterms:modified xsi:type="dcterms:W3CDTF">2026-02-06T02:53:16Z</dcterms:modified>
</cp:coreProperties>
</file>