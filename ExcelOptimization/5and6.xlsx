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Users\User\Desktop\informatics\ExcelOptimization\"/>
    </mc:Choice>
  </mc:AlternateContent>
  <xr:revisionPtr revIDLastSave="0" documentId="13_ncr:1_{1B0592B2-989E-4E6A-816F-B4981A729C3A}" xr6:coauthVersionLast="43" xr6:coauthVersionMax="43" xr10:uidLastSave="{00000000-0000-0000-0000-000000000000}"/>
  <bookViews>
    <workbookView xWindow="-120" yWindow="-120" windowWidth="29040" windowHeight="15840" activeTab="1" xr2:uid="{00000000-000D-0000-FFFF-FFFF00000000}"/>
  </bookViews>
  <sheets>
    <sheet name="5" sheetId="1" r:id="rId1"/>
    <sheet name="6" sheetId="2" r:id="rId2"/>
  </sheets>
  <definedNames>
    <definedName name="solver_adj" localSheetId="0" hidden="1">'5'!$B$10:$B$12</definedName>
    <definedName name="solver_adj" localSheetId="1" hidden="1">'6'!$E$2:$E$7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0" localSheetId="0" hidden="1">'5'!$F$3</definedName>
    <definedName name="solver_lhs1" localSheetId="0" hidden="1">'5'!$B$6</definedName>
    <definedName name="solver_lhs1" localSheetId="1" hidden="1">'6'!$B$11</definedName>
    <definedName name="solver_lhs2" localSheetId="0" hidden="1">'5'!$C$6</definedName>
    <definedName name="solver_lhs2" localSheetId="1" hidden="1">'6'!$B$12</definedName>
    <definedName name="solver_lhs3" localSheetId="0" hidden="1">'5'!$D$6</definedName>
    <definedName name="solver_lhs3" localSheetId="1" hidden="1">'6'!$B$13</definedName>
    <definedName name="solver_lhs4" localSheetId="0" hidden="1">'5'!$E$6</definedName>
    <definedName name="solver_lhs4" localSheetId="1" hidden="1">'6'!$E$2:$E$7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4</definedName>
    <definedName name="solver_num" localSheetId="1" hidden="1">4</definedName>
    <definedName name="solver_nwt" localSheetId="0" hidden="1">1</definedName>
    <definedName name="solver_nwt" localSheetId="1" hidden="1">1</definedName>
    <definedName name="solver_opt" localSheetId="0" hidden="1">'5'!$D$13</definedName>
    <definedName name="solver_opt" localSheetId="1" hidden="1">'6'!$B$14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2</definedName>
    <definedName name="solver_rel0" localSheetId="0" hidden="1">1</definedName>
    <definedName name="solver_rel1" localSheetId="0" hidden="1">1</definedName>
    <definedName name="solver_rel1" localSheetId="1" hidden="1">3</definedName>
    <definedName name="solver_rel2" localSheetId="0" hidden="1">1</definedName>
    <definedName name="solver_rel2" localSheetId="1" hidden="1">3</definedName>
    <definedName name="solver_rel3" localSheetId="0" hidden="1">1</definedName>
    <definedName name="solver_rel3" localSheetId="1" hidden="1">3</definedName>
    <definedName name="solver_rel4" localSheetId="0" hidden="1">1</definedName>
    <definedName name="solver_rel4" localSheetId="1" hidden="1">4</definedName>
    <definedName name="solver_rhs0" localSheetId="0" hidden="1">250</definedName>
    <definedName name="solver_rhs1" localSheetId="0" hidden="1">250</definedName>
    <definedName name="solver_rhs1" localSheetId="1" hidden="1">100</definedName>
    <definedName name="solver_rhs2" localSheetId="0" hidden="1">800</definedName>
    <definedName name="solver_rhs2" localSheetId="1" hidden="1">200</definedName>
    <definedName name="solver_rhs3" localSheetId="0" hidden="1">450</definedName>
    <definedName name="solver_rhs3" localSheetId="1" hidden="1">300</definedName>
    <definedName name="solver_rhs4" localSheetId="0" hidden="1">600</definedName>
    <definedName name="solver_rhs4" localSheetId="1" hidden="1">целое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4" i="2" l="1"/>
  <c r="B6" i="1"/>
  <c r="E6" i="1"/>
  <c r="D6" i="1"/>
  <c r="C6" i="1"/>
  <c r="D11" i="1"/>
  <c r="D12" i="1"/>
  <c r="D10" i="1"/>
  <c r="D13" i="1" l="1"/>
</calcChain>
</file>

<file path=xl/sharedStrings.xml><?xml version="1.0" encoding="utf-8"?>
<sst xmlns="http://schemas.openxmlformats.org/spreadsheetml/2006/main" count="24" uniqueCount="18">
  <si>
    <t>Расход на 1 единицу</t>
  </si>
  <si>
    <t xml:space="preserve">Динамик </t>
  </si>
  <si>
    <t>Блок питания</t>
  </si>
  <si>
    <t>Плата</t>
  </si>
  <si>
    <t>Стереосистема</t>
  </si>
  <si>
    <t>Телевизор</t>
  </si>
  <si>
    <t>Акустическая система</t>
  </si>
  <si>
    <t>Всего</t>
  </si>
  <si>
    <t>Наименование
изделия</t>
  </si>
  <si>
    <t xml:space="preserve">Кинескоп </t>
  </si>
  <si>
    <t>Количество</t>
  </si>
  <si>
    <t>Прибыль с 1</t>
  </si>
  <si>
    <t>Ответ</t>
  </si>
  <si>
    <t>5м</t>
  </si>
  <si>
    <t>4м</t>
  </si>
  <si>
    <t>3м</t>
  </si>
  <si>
    <t>Вариант</t>
  </si>
  <si>
    <t>Кол-во использований 10м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</si>
</sst>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J16" sqref="J16"/>
    </sheetView>
  </sheetViews>
  <sheetFormatPr defaultRowHeight="15" x14ac:dyDescent="0.25"/>
  <cols>
    <col min="1" max="1" width="18.5703125" customWidth="1"/>
    <col min="2" max="2" width="12.5703125" customWidth="1"/>
    <col min="3" max="3" width="12.140625" customWidth="1"/>
    <col min="4" max="4" width="15.28515625" customWidth="1"/>
  </cols>
  <sheetData>
    <row r="1" spans="1:6" x14ac:dyDescent="0.25">
      <c r="A1" s="4" t="s">
        <v>8</v>
      </c>
      <c r="B1" s="5" t="s">
        <v>0</v>
      </c>
      <c r="C1" s="5"/>
      <c r="D1" s="5"/>
      <c r="E1" s="5"/>
    </row>
    <row r="2" spans="1:6" x14ac:dyDescent="0.25">
      <c r="A2" s="4"/>
      <c r="B2" s="1" t="s">
        <v>9</v>
      </c>
      <c r="C2" s="1" t="s">
        <v>1</v>
      </c>
      <c r="D2" s="1" t="s">
        <v>2</v>
      </c>
      <c r="E2" s="1" t="s">
        <v>3</v>
      </c>
    </row>
    <row r="3" spans="1:6" x14ac:dyDescent="0.25">
      <c r="A3" t="s">
        <v>4</v>
      </c>
      <c r="B3" s="1">
        <v>0</v>
      </c>
      <c r="C3" s="1">
        <v>2</v>
      </c>
      <c r="D3" s="1">
        <v>1</v>
      </c>
      <c r="E3" s="1">
        <v>6</v>
      </c>
      <c r="F3" s="1"/>
    </row>
    <row r="4" spans="1:6" x14ac:dyDescent="0.25">
      <c r="A4" t="s">
        <v>5</v>
      </c>
      <c r="B4" s="1">
        <v>1</v>
      </c>
      <c r="C4" s="1">
        <v>2</v>
      </c>
      <c r="D4" s="1">
        <v>2</v>
      </c>
      <c r="E4" s="1">
        <v>8</v>
      </c>
      <c r="F4" s="1"/>
    </row>
    <row r="5" spans="1:6" ht="32.25" customHeight="1" x14ac:dyDescent="0.25">
      <c r="A5" s="2" t="s">
        <v>6</v>
      </c>
      <c r="B5" s="1">
        <v>0</v>
      </c>
      <c r="C5" s="1">
        <v>5</v>
      </c>
      <c r="D5" s="1">
        <v>2</v>
      </c>
      <c r="E5" s="1">
        <v>4</v>
      </c>
      <c r="F5" s="1"/>
    </row>
    <row r="6" spans="1:6" x14ac:dyDescent="0.25">
      <c r="A6" t="s">
        <v>7</v>
      </c>
      <c r="B6" s="1">
        <f>$B$10*B3 + $B$11*B4 + $B$12*B5</f>
        <v>75</v>
      </c>
      <c r="C6" s="1">
        <f>$B$10*C3 + $B$11*C4 + $B$12*C5</f>
        <v>150</v>
      </c>
      <c r="D6" s="1">
        <f>$B$10*D3 + $B$11*D4 + $B$12*D5</f>
        <v>150</v>
      </c>
      <c r="E6" s="1">
        <f>$B$10*E3 + $B$11*E4 + $B$12*E5</f>
        <v>600</v>
      </c>
      <c r="F6" s="1"/>
    </row>
    <row r="8" spans="1:6" x14ac:dyDescent="0.25">
      <c r="A8" s="4" t="s">
        <v>8</v>
      </c>
      <c r="B8" s="4" t="s">
        <v>10</v>
      </c>
      <c r="C8" s="4" t="s">
        <v>11</v>
      </c>
      <c r="D8" s="5" t="s">
        <v>7</v>
      </c>
    </row>
    <row r="9" spans="1:6" x14ac:dyDescent="0.25">
      <c r="A9" s="4"/>
      <c r="B9" s="4"/>
      <c r="C9" s="4"/>
      <c r="D9" s="5"/>
    </row>
    <row r="10" spans="1:6" x14ac:dyDescent="0.25">
      <c r="A10" t="s">
        <v>4</v>
      </c>
      <c r="B10">
        <v>0</v>
      </c>
      <c r="C10" s="1">
        <v>50</v>
      </c>
      <c r="D10">
        <f>C10*B10</f>
        <v>0</v>
      </c>
    </row>
    <row r="11" spans="1:6" x14ac:dyDescent="0.25">
      <c r="A11" t="s">
        <v>5</v>
      </c>
      <c r="B11">
        <v>75</v>
      </c>
      <c r="C11" s="1">
        <v>90</v>
      </c>
      <c r="D11">
        <f t="shared" ref="D11:D12" si="0">C11*B11</f>
        <v>6750</v>
      </c>
    </row>
    <row r="12" spans="1:6" ht="30" x14ac:dyDescent="0.25">
      <c r="A12" s="2" t="s">
        <v>6</v>
      </c>
      <c r="B12">
        <v>0</v>
      </c>
      <c r="C12" s="1">
        <v>45</v>
      </c>
      <c r="D12">
        <f t="shared" si="0"/>
        <v>0</v>
      </c>
    </row>
    <row r="13" spans="1:6" x14ac:dyDescent="0.25">
      <c r="C13" t="s">
        <v>12</v>
      </c>
      <c r="D13" s="3">
        <f>SUM(D10:D12)</f>
        <v>6750</v>
      </c>
    </row>
  </sheetData>
  <mergeCells count="6">
    <mergeCell ref="A1:A2"/>
    <mergeCell ref="B1:E1"/>
    <mergeCell ref="A8:A9"/>
    <mergeCell ref="B8:B9"/>
    <mergeCell ref="C8:C9"/>
    <mergeCell ref="D8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7355-1573-413B-8ED9-F478FC2D9ED1}">
  <dimension ref="A1:E14"/>
  <sheetViews>
    <sheetView tabSelected="1" workbookViewId="0">
      <selection activeCell="H21" sqref="H21"/>
    </sheetView>
  </sheetViews>
  <sheetFormatPr defaultRowHeight="15" x14ac:dyDescent="0.25"/>
  <cols>
    <col min="3" max="3" width="10.85546875" customWidth="1"/>
    <col min="4" max="4" width="8.7109375" customWidth="1"/>
    <col min="5" max="5" width="28.42578125" customWidth="1"/>
  </cols>
  <sheetData>
    <row r="1" spans="1:5" x14ac:dyDescent="0.25">
      <c r="A1" t="s">
        <v>16</v>
      </c>
      <c r="B1" t="s">
        <v>13</v>
      </c>
      <c r="C1" t="s">
        <v>14</v>
      </c>
      <c r="D1" t="s">
        <v>15</v>
      </c>
      <c r="E1" t="s">
        <v>17</v>
      </c>
    </row>
    <row r="2" spans="1:5" x14ac:dyDescent="0.25">
      <c r="A2">
        <v>1</v>
      </c>
      <c r="B2">
        <v>2</v>
      </c>
      <c r="C2">
        <v>0</v>
      </c>
      <c r="D2">
        <v>0</v>
      </c>
      <c r="E2">
        <v>50</v>
      </c>
    </row>
    <row r="3" spans="1:5" x14ac:dyDescent="0.25">
      <c r="A3">
        <v>2</v>
      </c>
      <c r="B3">
        <v>1</v>
      </c>
      <c r="C3">
        <v>1</v>
      </c>
      <c r="D3">
        <v>0</v>
      </c>
      <c r="E3">
        <v>0</v>
      </c>
    </row>
    <row r="4" spans="1:5" x14ac:dyDescent="0.25">
      <c r="A4">
        <v>3</v>
      </c>
      <c r="B4">
        <v>1</v>
      </c>
      <c r="C4">
        <v>0</v>
      </c>
      <c r="D4">
        <v>1</v>
      </c>
      <c r="E4">
        <v>0</v>
      </c>
    </row>
    <row r="5" spans="1:5" x14ac:dyDescent="0.25">
      <c r="A5">
        <v>4</v>
      </c>
      <c r="B5">
        <v>0</v>
      </c>
      <c r="C5">
        <v>2</v>
      </c>
      <c r="D5">
        <v>0</v>
      </c>
      <c r="E5">
        <v>25</v>
      </c>
    </row>
    <row r="6" spans="1:5" x14ac:dyDescent="0.25">
      <c r="A6">
        <v>5</v>
      </c>
      <c r="B6">
        <v>0</v>
      </c>
      <c r="C6">
        <v>1</v>
      </c>
      <c r="D6">
        <v>2</v>
      </c>
      <c r="E6">
        <v>150</v>
      </c>
    </row>
    <row r="7" spans="1:5" x14ac:dyDescent="0.25">
      <c r="A7">
        <v>6</v>
      </c>
      <c r="B7">
        <v>0</v>
      </c>
      <c r="C7">
        <v>0</v>
      </c>
      <c r="D7">
        <v>3</v>
      </c>
      <c r="E7">
        <v>0</v>
      </c>
    </row>
    <row r="14" spans="1:5" x14ac:dyDescent="0.25">
      <c r="A14" t="s">
        <v>12</v>
      </c>
      <c r="B14" s="3">
        <f>SUM(E2:E7)</f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2026-02-06T02:58:22Z</dcterms:modified>
</cp:coreProperties>
</file>