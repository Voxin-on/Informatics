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informatics\StartExcel\"/>
    </mc:Choice>
  </mc:AlternateContent>
  <xr:revisionPtr revIDLastSave="0" documentId="13_ncr:1_{F68FFE29-31D0-410C-91DB-CE4D4880E0C1}" xr6:coauthVersionLast="43" xr6:coauthVersionMax="43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F5" i="1" s="1"/>
  <c r="D3" i="1"/>
  <c r="F3" i="1" s="1"/>
  <c r="F4" i="1" l="1"/>
  <c r="G4" i="1" s="1"/>
  <c r="H4" i="1" s="1"/>
  <c r="E5" i="1"/>
  <c r="G5" i="1" s="1"/>
  <c r="H5" i="1" s="1"/>
  <c r="E3" i="1"/>
  <c r="G3" i="1" s="1"/>
  <c r="H3" i="1" s="1"/>
</calcChain>
</file>

<file path=xl/sharedStrings.xml><?xml version="1.0" encoding="utf-8"?>
<sst xmlns="http://schemas.openxmlformats.org/spreadsheetml/2006/main" count="15" uniqueCount="12">
  <si>
    <t>основное начисление</t>
  </si>
  <si>
    <t>премия</t>
  </si>
  <si>
    <t>всего начислено</t>
  </si>
  <si>
    <t>подоходный налог</t>
  </si>
  <si>
    <t>пенсионный фонд</t>
  </si>
  <si>
    <t>всего удержано</t>
  </si>
  <si>
    <t>к выдаче</t>
  </si>
  <si>
    <t>Иванов</t>
  </si>
  <si>
    <t>Петров</t>
  </si>
  <si>
    <t>Сидоров</t>
  </si>
  <si>
    <t>начисления</t>
  </si>
  <si>
    <t>удержания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</si>
</sst>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Protection="1">
      <protection locked="0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</a:t>
            </a:r>
            <a:r>
              <a:rPr lang="ru-RU" baseline="0"/>
              <a:t> выдаче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Лист1!$A$3:$A$5</c:f>
              <c:strCache>
                <c:ptCount val="3"/>
                <c:pt idx="0">
                  <c:v>Иванов</c:v>
                </c:pt>
                <c:pt idx="1">
                  <c:v>Сидоров</c:v>
                </c:pt>
                <c:pt idx="2">
                  <c:v>Сидоров</c:v>
                </c:pt>
              </c:strCache>
            </c:strRef>
          </c:cat>
          <c:val>
            <c:numRef>
              <c:f>Лист1!$H$3:$H$5</c:f>
              <c:numCache>
                <c:formatCode>General</c:formatCode>
                <c:ptCount val="3"/>
                <c:pt idx="0">
                  <c:v>32500</c:v>
                </c:pt>
                <c:pt idx="1">
                  <c:v>26650</c:v>
                </c:pt>
                <c:pt idx="2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7-49F3-8C05-F29191EA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3679759"/>
        <c:axId val="2085940975"/>
      </c:barChart>
      <c:catAx>
        <c:axId val="208367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5940975"/>
        <c:crosses val="autoZero"/>
        <c:auto val="1"/>
        <c:lblAlgn val="ctr"/>
        <c:lblOffset val="100"/>
        <c:noMultiLvlLbl val="0"/>
      </c:catAx>
      <c:valAx>
        <c:axId val="208594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367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14287</xdr:rowOff>
    </xdr:from>
    <xdr:to>
      <xdr:col>18</xdr:col>
      <xdr:colOff>314325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D08D2A-310A-425A-B48E-1EA9D27F8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B3" sqref="B3"/>
    </sheetView>
  </sheetViews>
  <sheetFormatPr defaultRowHeight="15" outlineLevelCol="1" x14ac:dyDescent="0.25"/>
  <cols>
    <col min="2" max="2" width="24" customWidth="1" outlineLevel="1"/>
    <col min="3" max="3" width="9.140625" customWidth="1" outlineLevel="1"/>
    <col min="4" max="4" width="18" customWidth="1" outlineLevel="1"/>
    <col min="5" max="5" width="29" customWidth="1" outlineLevel="1"/>
    <col min="6" max="6" width="21.28515625" customWidth="1" outlineLevel="1"/>
    <col min="7" max="7" width="15.85546875" customWidth="1" outlineLevel="1"/>
  </cols>
  <sheetData>
    <row r="1" spans="1:24" x14ac:dyDescent="0.25">
      <c r="B1" s="5" t="s">
        <v>10</v>
      </c>
      <c r="C1" s="5"/>
      <c r="D1" s="5"/>
      <c r="E1" s="6" t="s">
        <v>11</v>
      </c>
      <c r="F1" s="6"/>
      <c r="G1" s="6"/>
    </row>
    <row r="2" spans="1:24" x14ac:dyDescent="0.2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3" t="s">
        <v>6</v>
      </c>
      <c r="X2" t="s">
        <v>7</v>
      </c>
    </row>
    <row r="3" spans="1:24" x14ac:dyDescent="0.25">
      <c r="A3" t="s">
        <v>7</v>
      </c>
      <c r="B3" s="4">
        <v>45000</v>
      </c>
      <c r="C3" s="4">
        <v>5000</v>
      </c>
      <c r="D3" s="1">
        <f>B3+C3</f>
        <v>50000</v>
      </c>
      <c r="E3">
        <f>D3*0.13</f>
        <v>6500</v>
      </c>
      <c r="F3">
        <f>D3*0.22</f>
        <v>11000</v>
      </c>
      <c r="G3" s="2">
        <f>E3+F3</f>
        <v>17500</v>
      </c>
      <c r="H3" s="3">
        <f>D3-G3</f>
        <v>32500</v>
      </c>
      <c r="X3" t="s">
        <v>8</v>
      </c>
    </row>
    <row r="4" spans="1:24" x14ac:dyDescent="0.25">
      <c r="A4" t="s">
        <v>9</v>
      </c>
      <c r="B4" s="4">
        <v>38000</v>
      </c>
      <c r="C4" s="4">
        <v>3000</v>
      </c>
      <c r="D4" s="1">
        <f t="shared" ref="D4:D5" si="0">B4+C4</f>
        <v>41000</v>
      </c>
      <c r="E4">
        <f t="shared" ref="E4:E5" si="1">D4*0.13</f>
        <v>5330</v>
      </c>
      <c r="F4">
        <f t="shared" ref="F4:F5" si="2">D4*0.22</f>
        <v>9020</v>
      </c>
      <c r="G4" s="2">
        <f t="shared" ref="G4:G5" si="3">E4+F4</f>
        <v>14350</v>
      </c>
      <c r="H4" s="3">
        <f t="shared" ref="H4:H5" si="4">D4-G4</f>
        <v>26650</v>
      </c>
      <c r="X4" t="s">
        <v>9</v>
      </c>
    </row>
    <row r="5" spans="1:24" x14ac:dyDescent="0.25">
      <c r="A5" t="s">
        <v>9</v>
      </c>
      <c r="B5" s="4">
        <v>10000</v>
      </c>
      <c r="C5" s="4">
        <v>8000</v>
      </c>
      <c r="D5" s="1">
        <f t="shared" si="0"/>
        <v>18000</v>
      </c>
      <c r="E5">
        <f t="shared" si="1"/>
        <v>2340</v>
      </c>
      <c r="F5">
        <f t="shared" si="2"/>
        <v>3960</v>
      </c>
      <c r="G5" s="2">
        <f t="shared" si="3"/>
        <v>6300</v>
      </c>
      <c r="H5" s="3">
        <f t="shared" si="4"/>
        <v>11700</v>
      </c>
    </row>
  </sheetData>
  <sheetProtection sheet="1" objects="1" scenarios="1" selectLockedCells="1"/>
  <mergeCells count="2">
    <mergeCell ref="B1:D1"/>
    <mergeCell ref="E1:G1"/>
  </mergeCells>
  <conditionalFormatting sqref="H3:H5">
    <cfRule type="cellIs" dxfId="0" priority="1" operator="lessThan">
      <formula>12333</formula>
    </cfRule>
  </conditionalFormatting>
  <dataValidations count="3">
    <dataValidation type="whole" allowBlank="1" showInputMessage="1" showErrorMessage="1" sqref="B3:B5" xr:uid="{8F13DB78-A956-4D2D-93E8-B7CA1CC2F193}">
      <formula1>5000</formula1>
      <formula2>2000000</formula2>
    </dataValidation>
    <dataValidation type="whole" allowBlank="1" showInputMessage="1" showErrorMessage="1" sqref="C3:C5" xr:uid="{B860D3F3-5A6C-42F4-A737-908437933703}">
      <formula1>1000</formula1>
      <formula2>100000</formula2>
    </dataValidation>
    <dataValidation type="list" allowBlank="1" showInputMessage="1" showErrorMessage="1" sqref="A3:A35" xr:uid="{4A783DEA-CA15-4C6A-8A73-82546AB5CE1E}">
      <formula1>$X:$X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2025-11-07T13:09:41Z</dcterms:modified>
</cp:coreProperties>
</file>